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 activeTab="1"/>
  </bookViews>
  <sheets>
    <sheet name="多xag空xau" sheetId="1" r:id="rId1"/>
    <sheet name="多xau空xag" sheetId="2" r:id="rId2"/>
  </sheets>
  <calcPr calcId="144525"/>
</workbook>
</file>

<file path=xl/sharedStrings.xml><?xml version="1.0" encoding="utf-8"?>
<sst xmlns="http://schemas.openxmlformats.org/spreadsheetml/2006/main" count="11">
  <si>
    <t>时间</t>
  </si>
  <si>
    <t>xagusd</t>
  </si>
  <si>
    <t>xauusd</t>
  </si>
  <si>
    <t>50xagusd</t>
  </si>
  <si>
    <t>价差</t>
  </si>
  <si>
    <t>XAU利润</t>
  </si>
  <si>
    <t>xag利润</t>
  </si>
  <si>
    <t>总利润</t>
  </si>
  <si>
    <t>profit</t>
  </si>
  <si>
    <t>开</t>
  </si>
  <si>
    <t>平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</si>
</sst>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9" borderId="4" applyNumberFormat="0" applyAlignment="0" applyProtection="0">
      <alignment vertical="center"/>
    </xf>
    <xf numFmtId="0" fontId="13" fillId="19" borderId="3" applyNumberFormat="0" applyAlignment="0" applyProtection="0">
      <alignment vertical="center"/>
    </xf>
    <xf numFmtId="0" fontId="16" fillId="31" borderId="7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22" fontId="0" fillId="0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workbookViewId="0">
      <selection activeCell="R29" sqref="R29"/>
    </sheetView>
  </sheetViews>
  <sheetFormatPr defaultColWidth="9" defaultRowHeight="13.5"/>
  <cols>
    <col min="1" max="1" width="20.375" style="1" customWidth="1"/>
    <col min="2" max="16384" width="9" style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/>
      <c r="I1" s="2" t="s">
        <v>6</v>
      </c>
      <c r="J1" s="2" t="s">
        <v>7</v>
      </c>
      <c r="K1" s="2" t="s">
        <v>8</v>
      </c>
    </row>
    <row r="2" s="1" customFormat="1" spans="1:11">
      <c r="A2" s="3">
        <v>43438.125</v>
      </c>
      <c r="B2" s="2">
        <v>14.4379999999999</v>
      </c>
      <c r="C2" s="2">
        <v>1234.86</v>
      </c>
      <c r="D2" s="2">
        <v>721.9</v>
      </c>
      <c r="E2" s="2">
        <v>512.959999999999</v>
      </c>
      <c r="F2" s="4" t="s">
        <v>9</v>
      </c>
      <c r="G2" s="2">
        <f t="shared" ref="G2:G6" si="0">C2-C$7</f>
        <v>-3.33000000000015</v>
      </c>
      <c r="H2" s="2">
        <f t="shared" ref="H2:H6" si="1">B$7-B2</f>
        <v>0.1300000000001</v>
      </c>
      <c r="I2" s="2">
        <f t="shared" ref="I2:I6" si="2">H2*50</f>
        <v>6.50000000000501</v>
      </c>
      <c r="J2" s="2">
        <f t="shared" ref="J2:J6" si="3">I2+G2</f>
        <v>3.17000000000486</v>
      </c>
      <c r="K2" s="2">
        <v>18.4000000000047</v>
      </c>
    </row>
    <row r="3" s="1" customFormat="1" spans="1:11">
      <c r="A3" s="3">
        <v>43438.1666666667</v>
      </c>
      <c r="B3" s="2">
        <v>14.429</v>
      </c>
      <c r="C3" s="2">
        <v>1235.1</v>
      </c>
      <c r="D3" s="2">
        <v>721.45</v>
      </c>
      <c r="E3" s="2">
        <v>513.649999999999</v>
      </c>
      <c r="F3" s="4"/>
      <c r="G3" s="2">
        <f t="shared" si="0"/>
        <v>-3.09000000000015</v>
      </c>
      <c r="H3" s="2">
        <f t="shared" si="1"/>
        <v>0.138999999999999</v>
      </c>
      <c r="I3" s="2">
        <f t="shared" si="2"/>
        <v>6.94999999999997</v>
      </c>
      <c r="J3" s="2">
        <f t="shared" si="3"/>
        <v>3.85999999999982</v>
      </c>
      <c r="K3" s="2"/>
    </row>
    <row r="4" s="1" customFormat="1" spans="1:11">
      <c r="A4" s="3">
        <v>43438.2083333333</v>
      </c>
      <c r="B4" s="2">
        <v>14.431</v>
      </c>
      <c r="C4" s="2">
        <v>1235.46</v>
      </c>
      <c r="D4" s="2">
        <v>721.55</v>
      </c>
      <c r="E4" s="2">
        <v>513.91</v>
      </c>
      <c r="F4" s="4"/>
      <c r="G4" s="2">
        <f t="shared" si="0"/>
        <v>-2.73000000000002</v>
      </c>
      <c r="H4" s="2">
        <f t="shared" si="1"/>
        <v>0.137</v>
      </c>
      <c r="I4" s="2">
        <f t="shared" si="2"/>
        <v>6.85000000000002</v>
      </c>
      <c r="J4" s="2">
        <f t="shared" si="3"/>
        <v>4.12</v>
      </c>
      <c r="K4" s="2"/>
    </row>
    <row r="5" s="1" customFormat="1" spans="1:11">
      <c r="A5" s="3">
        <v>43438.25</v>
      </c>
      <c r="B5" s="2">
        <v>14.469</v>
      </c>
      <c r="C5" s="2">
        <v>1236.9</v>
      </c>
      <c r="D5" s="2">
        <v>723.45</v>
      </c>
      <c r="E5" s="2">
        <v>513.45</v>
      </c>
      <c r="F5" s="4"/>
      <c r="G5" s="2">
        <f t="shared" si="0"/>
        <v>-1.28999999999996</v>
      </c>
      <c r="H5" s="2">
        <f t="shared" si="1"/>
        <v>0.0990000000000002</v>
      </c>
      <c r="I5" s="2">
        <f t="shared" si="2"/>
        <v>4.95000000000001</v>
      </c>
      <c r="J5" s="2">
        <f t="shared" si="3"/>
        <v>3.66000000000005</v>
      </c>
      <c r="K5" s="2"/>
    </row>
    <row r="6" s="1" customFormat="1" spans="1:11">
      <c r="A6" s="3">
        <v>43438.2916666667</v>
      </c>
      <c r="B6" s="2">
        <v>14.477</v>
      </c>
      <c r="C6" s="2">
        <v>1237.23</v>
      </c>
      <c r="D6" s="2">
        <v>723.85</v>
      </c>
      <c r="E6" s="2">
        <v>513.38</v>
      </c>
      <c r="F6" s="4"/>
      <c r="G6" s="2">
        <f t="shared" si="0"/>
        <v>-0.960000000000036</v>
      </c>
      <c r="H6" s="2">
        <f t="shared" si="1"/>
        <v>0.0909999999999993</v>
      </c>
      <c r="I6" s="2">
        <f t="shared" si="2"/>
        <v>4.54999999999997</v>
      </c>
      <c r="J6" s="2">
        <f t="shared" si="3"/>
        <v>3.58999999999993</v>
      </c>
      <c r="K6" s="2"/>
    </row>
    <row r="7" s="1" customFormat="1" spans="1:11">
      <c r="A7" s="3">
        <v>43438.7083333333</v>
      </c>
      <c r="B7" s="2">
        <v>14.568</v>
      </c>
      <c r="C7" s="2">
        <v>1238.19</v>
      </c>
      <c r="D7" s="2">
        <v>728.4</v>
      </c>
      <c r="E7" s="2">
        <v>509.79</v>
      </c>
      <c r="F7" s="2" t="s">
        <v>10</v>
      </c>
      <c r="G7" s="2"/>
      <c r="H7" s="2"/>
      <c r="I7" s="2"/>
      <c r="J7" s="2"/>
      <c r="K7" s="2"/>
    </row>
    <row r="8" s="1" customFormat="1" spans="1:11">
      <c r="A8" s="3"/>
      <c r="B8" s="2"/>
      <c r="C8" s="2"/>
      <c r="D8" s="2"/>
      <c r="E8" s="2"/>
      <c r="F8" s="2"/>
      <c r="G8" s="2"/>
      <c r="H8" s="2"/>
      <c r="I8" s="2"/>
      <c r="J8" s="2"/>
      <c r="K8" s="2"/>
    </row>
    <row r="9" s="1" customFormat="1" spans="1:11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/>
      <c r="G9" s="2" t="s">
        <v>5</v>
      </c>
      <c r="H9" s="2"/>
      <c r="I9" s="2" t="s">
        <v>6</v>
      </c>
      <c r="J9" s="2" t="s">
        <v>7</v>
      </c>
      <c r="K9" s="2" t="s">
        <v>8</v>
      </c>
    </row>
    <row r="10" s="1" customFormat="1" spans="1:11">
      <c r="A10" s="3">
        <v>43439.2083333333</v>
      </c>
      <c r="B10" s="2">
        <v>14.4379999999999</v>
      </c>
      <c r="C10" s="2">
        <v>1235.37</v>
      </c>
      <c r="D10" s="2">
        <v>721.9</v>
      </c>
      <c r="E10" s="2">
        <v>513.469999999999</v>
      </c>
      <c r="F10" s="4" t="s">
        <v>9</v>
      </c>
      <c r="G10" s="2">
        <f t="shared" ref="G10:G14" si="4">C10-C$15</f>
        <v>-10.5</v>
      </c>
      <c r="H10" s="2">
        <f t="shared" ref="H10:H14" si="5">B$15-B10</f>
        <v>0.269000000000101</v>
      </c>
      <c r="I10" s="2">
        <f t="shared" ref="I10:I14" si="6">H10*50</f>
        <v>13.4500000000051</v>
      </c>
      <c r="J10" s="2">
        <f t="shared" ref="J10:J14" si="7">I10+G10</f>
        <v>2.95000000000507</v>
      </c>
      <c r="K10" s="2">
        <f>SUM(J10:J14)</f>
        <v>14.6800000000106</v>
      </c>
    </row>
    <row r="11" s="1" customFormat="1" spans="1:11">
      <c r="A11" s="3">
        <v>43439.25</v>
      </c>
      <c r="B11" s="2">
        <v>14.432</v>
      </c>
      <c r="C11" s="2">
        <v>1234.74</v>
      </c>
      <c r="D11" s="2">
        <v>721.6</v>
      </c>
      <c r="E11" s="2">
        <v>513.14</v>
      </c>
      <c r="F11" s="4"/>
      <c r="G11" s="2">
        <f t="shared" si="4"/>
        <v>-11.1299999999999</v>
      </c>
      <c r="H11" s="2">
        <f t="shared" si="5"/>
        <v>0.275</v>
      </c>
      <c r="I11" s="2">
        <f t="shared" si="6"/>
        <v>13.75</v>
      </c>
      <c r="J11" s="2">
        <f t="shared" si="7"/>
        <v>2.62000000000014</v>
      </c>
      <c r="K11" s="2"/>
    </row>
    <row r="12" s="1" customFormat="1" spans="1:11">
      <c r="A12" s="3">
        <v>43439.2916666667</v>
      </c>
      <c r="B12" s="2">
        <v>14.433</v>
      </c>
      <c r="C12" s="2">
        <v>1235.11</v>
      </c>
      <c r="D12" s="2">
        <v>721.65</v>
      </c>
      <c r="E12" s="2">
        <v>513.459999999999</v>
      </c>
      <c r="F12" s="4"/>
      <c r="G12" s="2">
        <f t="shared" si="4"/>
        <v>-10.76</v>
      </c>
      <c r="H12" s="2">
        <f t="shared" si="5"/>
        <v>0.274000000000001</v>
      </c>
      <c r="I12" s="2">
        <f t="shared" si="6"/>
        <v>13.7</v>
      </c>
      <c r="J12" s="2">
        <f t="shared" si="7"/>
        <v>2.94000000000005</v>
      </c>
      <c r="K12" s="2"/>
    </row>
    <row r="13" s="1" customFormat="1" spans="1:11">
      <c r="A13" s="3">
        <v>43439.3333333333</v>
      </c>
      <c r="B13" s="2">
        <v>14.4409999999999</v>
      </c>
      <c r="C13" s="2">
        <v>1235.68</v>
      </c>
      <c r="D13" s="2">
        <v>722.05</v>
      </c>
      <c r="E13" s="2">
        <v>513.63</v>
      </c>
      <c r="F13" s="4"/>
      <c r="G13" s="2">
        <f t="shared" si="4"/>
        <v>-10.1899999999998</v>
      </c>
      <c r="H13" s="2">
        <f t="shared" si="5"/>
        <v>0.266000000000101</v>
      </c>
      <c r="I13" s="2">
        <f t="shared" si="6"/>
        <v>13.3000000000051</v>
      </c>
      <c r="J13" s="2">
        <f t="shared" si="7"/>
        <v>3.11000000000524</v>
      </c>
      <c r="K13" s="2"/>
    </row>
    <row r="14" s="1" customFormat="1" spans="1:11">
      <c r="A14" s="3">
        <v>43439.375</v>
      </c>
      <c r="B14" s="2">
        <v>14.41</v>
      </c>
      <c r="C14" s="2">
        <v>1234.08</v>
      </c>
      <c r="D14" s="2">
        <v>720.5</v>
      </c>
      <c r="E14" s="2">
        <v>513.579999999999</v>
      </c>
      <c r="F14" s="4"/>
      <c r="G14" s="2">
        <f t="shared" si="4"/>
        <v>-11.79</v>
      </c>
      <c r="H14" s="2">
        <f t="shared" si="5"/>
        <v>0.297000000000001</v>
      </c>
      <c r="I14" s="2">
        <f t="shared" si="6"/>
        <v>14.85</v>
      </c>
      <c r="J14" s="2">
        <f t="shared" si="7"/>
        <v>3.06000000000007</v>
      </c>
      <c r="K14" s="2"/>
    </row>
    <row r="15" s="1" customFormat="1" spans="1:11">
      <c r="A15" s="3">
        <v>43446.6666666667</v>
      </c>
      <c r="B15" s="2">
        <v>14.707</v>
      </c>
      <c r="C15" s="2">
        <v>1245.87</v>
      </c>
      <c r="D15" s="2">
        <v>735.35</v>
      </c>
      <c r="E15" s="2">
        <v>510.519999999999</v>
      </c>
      <c r="F15" s="2" t="s">
        <v>10</v>
      </c>
      <c r="G15" s="2"/>
      <c r="H15" s="2"/>
      <c r="I15" s="2"/>
      <c r="J15" s="2"/>
      <c r="K15" s="2"/>
    </row>
    <row r="16" s="1" customFormat="1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="1" customFormat="1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="1" customFormat="1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="1" customFormat="1" spans="1:11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/>
      <c r="G19" s="2" t="s">
        <v>5</v>
      </c>
      <c r="H19" s="2"/>
      <c r="I19" s="2" t="s">
        <v>6</v>
      </c>
      <c r="J19" s="2" t="s">
        <v>7</v>
      </c>
      <c r="K19" s="2" t="s">
        <v>8</v>
      </c>
    </row>
    <row r="20" s="1" customFormat="1" spans="1:11">
      <c r="A20" s="3">
        <v>43440.0416666667</v>
      </c>
      <c r="B20" s="2">
        <v>14.48</v>
      </c>
      <c r="C20" s="2">
        <v>1238.18</v>
      </c>
      <c r="D20" s="2">
        <v>724</v>
      </c>
      <c r="E20" s="2">
        <v>514.18</v>
      </c>
      <c r="F20" s="4" t="s">
        <v>9</v>
      </c>
      <c r="G20" s="2">
        <f t="shared" ref="G20:G24" si="8">C20-C$25</f>
        <v>-7.68999999999983</v>
      </c>
      <c r="H20" s="2">
        <f t="shared" ref="H20:H24" si="9">B$25-B20</f>
        <v>0.227</v>
      </c>
      <c r="I20" s="2">
        <f t="shared" ref="I20:I24" si="10">H20*50</f>
        <v>11.35</v>
      </c>
      <c r="J20" s="2">
        <f t="shared" ref="J20:J24" si="11">I20+G20</f>
        <v>3.66000000000019</v>
      </c>
      <c r="K20" s="2">
        <f>SUM(J20:J24)</f>
        <v>25.8900000000058</v>
      </c>
    </row>
    <row r="21" s="1" customFormat="1" spans="1:11">
      <c r="A21" s="3">
        <v>43440.0833333333</v>
      </c>
      <c r="B21" s="2">
        <v>14.484</v>
      </c>
      <c r="C21" s="2">
        <v>1239.18</v>
      </c>
      <c r="D21" s="2">
        <v>724.2</v>
      </c>
      <c r="E21" s="2">
        <v>514.98</v>
      </c>
      <c r="F21" s="4"/>
      <c r="G21" s="2">
        <f t="shared" si="8"/>
        <v>-6.68999999999983</v>
      </c>
      <c r="H21" s="2">
        <f t="shared" si="9"/>
        <v>0.223000000000001</v>
      </c>
      <c r="I21" s="2">
        <f t="shared" si="10"/>
        <v>11.15</v>
      </c>
      <c r="J21" s="2">
        <f t="shared" si="11"/>
        <v>4.46000000000021</v>
      </c>
      <c r="K21" s="2"/>
    </row>
    <row r="22" s="1" customFormat="1" spans="1:11">
      <c r="A22" s="3">
        <v>43440.125</v>
      </c>
      <c r="B22" s="2">
        <v>14.4729999999999</v>
      </c>
      <c r="C22" s="2">
        <v>1240.07</v>
      </c>
      <c r="D22" s="2">
        <v>723.65</v>
      </c>
      <c r="E22" s="2">
        <v>516.42</v>
      </c>
      <c r="F22" s="4"/>
      <c r="G22" s="2">
        <f t="shared" si="8"/>
        <v>-5.79999999999995</v>
      </c>
      <c r="H22" s="2">
        <f t="shared" si="9"/>
        <v>0.234000000000101</v>
      </c>
      <c r="I22" s="2">
        <f t="shared" si="10"/>
        <v>11.7000000000051</v>
      </c>
      <c r="J22" s="2">
        <f t="shared" si="11"/>
        <v>5.90000000000511</v>
      </c>
      <c r="K22" s="2"/>
    </row>
    <row r="23" s="1" customFormat="1" spans="1:11">
      <c r="A23" s="3">
        <v>43440.1666666667</v>
      </c>
      <c r="B23" s="2">
        <v>14.463</v>
      </c>
      <c r="C23" s="2">
        <v>1239.11</v>
      </c>
      <c r="D23" s="2">
        <v>723.15</v>
      </c>
      <c r="E23" s="2">
        <v>515.959999999999</v>
      </c>
      <c r="F23" s="4"/>
      <c r="G23" s="2">
        <f t="shared" si="8"/>
        <v>-6.75999999999999</v>
      </c>
      <c r="H23" s="2">
        <f t="shared" si="9"/>
        <v>0.244000000000002</v>
      </c>
      <c r="I23" s="2">
        <f t="shared" si="10"/>
        <v>12.2000000000001</v>
      </c>
      <c r="J23" s="2">
        <f t="shared" si="11"/>
        <v>5.44000000000009</v>
      </c>
      <c r="K23" s="2"/>
    </row>
    <row r="24" s="1" customFormat="1" spans="1:11">
      <c r="A24" s="3">
        <v>43440.2083333333</v>
      </c>
      <c r="B24" s="2">
        <v>14.445</v>
      </c>
      <c r="C24" s="2">
        <v>1239.2</v>
      </c>
      <c r="D24" s="2">
        <v>722.25</v>
      </c>
      <c r="E24" s="2">
        <v>516.95</v>
      </c>
      <c r="F24" s="4"/>
      <c r="G24" s="2">
        <f t="shared" si="8"/>
        <v>-6.66999999999985</v>
      </c>
      <c r="H24" s="2">
        <f t="shared" si="9"/>
        <v>0.262</v>
      </c>
      <c r="I24" s="2">
        <f t="shared" si="10"/>
        <v>13.1</v>
      </c>
      <c r="J24" s="2">
        <f t="shared" si="11"/>
        <v>6.43000000000018</v>
      </c>
      <c r="K24" s="2"/>
    </row>
    <row r="25" s="1" customFormat="1" spans="1:11">
      <c r="A25" s="3">
        <v>43446.6666666667</v>
      </c>
      <c r="B25" s="2">
        <v>14.707</v>
      </c>
      <c r="C25" s="2">
        <v>1245.87</v>
      </c>
      <c r="D25" s="2">
        <v>735.35</v>
      </c>
      <c r="E25" s="2">
        <v>510.519999999999</v>
      </c>
      <c r="F25" s="2" t="s">
        <v>10</v>
      </c>
      <c r="G25" s="2"/>
      <c r="H25" s="2"/>
      <c r="I25" s="2"/>
      <c r="J25" s="2"/>
      <c r="K25" s="2"/>
    </row>
    <row r="26" s="1" customFormat="1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="1" customFormat="1" spans="1:11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/>
      <c r="G27" s="2" t="s">
        <v>5</v>
      </c>
      <c r="H27" s="2"/>
      <c r="I27" s="2" t="s">
        <v>6</v>
      </c>
      <c r="J27" s="2" t="s">
        <v>7</v>
      </c>
      <c r="K27" s="2" t="s">
        <v>8</v>
      </c>
    </row>
    <row r="28" s="1" customFormat="1" spans="1:11">
      <c r="A28" s="3">
        <v>43452.0416666667</v>
      </c>
      <c r="B28" s="2">
        <v>14.648</v>
      </c>
      <c r="C28" s="2">
        <v>1245.82</v>
      </c>
      <c r="D28" s="2">
        <v>732.4</v>
      </c>
      <c r="E28" s="2">
        <v>513.42</v>
      </c>
      <c r="F28" s="4" t="s">
        <v>9</v>
      </c>
      <c r="G28" s="2">
        <f t="shared" ref="G28:G32" si="12">C28-C$33</f>
        <v>-32.1600000000001</v>
      </c>
      <c r="H28" s="2">
        <f t="shared" ref="H28:H32" si="13">B$33-B28</f>
        <v>0.721</v>
      </c>
      <c r="I28" s="2">
        <f t="shared" ref="I28:I32" si="14">H28*50</f>
        <v>36.05</v>
      </c>
      <c r="J28" s="2">
        <f t="shared" ref="J28:J32" si="15">I28+G28</f>
        <v>3.88999999999992</v>
      </c>
      <c r="K28" s="2">
        <f>SUM(J28:J32)</f>
        <v>22.9800000000049</v>
      </c>
    </row>
    <row r="29" s="1" customFormat="1" spans="1:11">
      <c r="A29" s="3">
        <v>43452.0833333333</v>
      </c>
      <c r="B29" s="2">
        <v>14.651</v>
      </c>
      <c r="C29" s="2">
        <v>1246.01</v>
      </c>
      <c r="D29" s="2">
        <v>732.55</v>
      </c>
      <c r="E29" s="2">
        <v>513.46</v>
      </c>
      <c r="F29" s="4"/>
      <c r="G29" s="2">
        <f t="shared" si="12"/>
        <v>-31.97</v>
      </c>
      <c r="H29" s="2">
        <f t="shared" si="13"/>
        <v>0.718</v>
      </c>
      <c r="I29" s="2">
        <f t="shared" si="14"/>
        <v>35.9</v>
      </c>
      <c r="J29" s="2">
        <f t="shared" si="15"/>
        <v>3.92999999999997</v>
      </c>
      <c r="K29" s="2"/>
    </row>
    <row r="30" s="1" customFormat="1" spans="1:11">
      <c r="A30" s="3">
        <v>43452.125</v>
      </c>
      <c r="B30" s="2">
        <v>14.6559999999999</v>
      </c>
      <c r="C30" s="2">
        <v>1247.16</v>
      </c>
      <c r="D30" s="2">
        <v>732.8</v>
      </c>
      <c r="E30" s="2">
        <v>514.36</v>
      </c>
      <c r="F30" s="4"/>
      <c r="G30" s="2">
        <f t="shared" si="12"/>
        <v>-30.8199999999999</v>
      </c>
      <c r="H30" s="2">
        <f t="shared" si="13"/>
        <v>0.7130000000001</v>
      </c>
      <c r="I30" s="2">
        <f t="shared" si="14"/>
        <v>35.650000000005</v>
      </c>
      <c r="J30" s="2">
        <f t="shared" si="15"/>
        <v>4.83000000000509</v>
      </c>
      <c r="K30" s="2"/>
    </row>
    <row r="31" s="1" customFormat="1" spans="1:11">
      <c r="A31" s="3">
        <v>43452.1666666667</v>
      </c>
      <c r="B31" s="2">
        <v>14.669</v>
      </c>
      <c r="C31" s="2">
        <v>1247.91</v>
      </c>
      <c r="D31" s="2">
        <v>733.45</v>
      </c>
      <c r="E31" s="2">
        <v>514.46</v>
      </c>
      <c r="F31" s="4"/>
      <c r="G31" s="2">
        <f t="shared" si="12"/>
        <v>-30.0699999999999</v>
      </c>
      <c r="H31" s="2">
        <f t="shared" si="13"/>
        <v>0.699999999999999</v>
      </c>
      <c r="I31" s="2">
        <f t="shared" si="14"/>
        <v>35</v>
      </c>
      <c r="J31" s="2">
        <f t="shared" si="15"/>
        <v>4.93000000000003</v>
      </c>
      <c r="K31" s="2"/>
    </row>
    <row r="32" s="1" customFormat="1" spans="1:11">
      <c r="A32" s="3">
        <v>43452.2083333333</v>
      </c>
      <c r="B32" s="2">
        <v>14.668</v>
      </c>
      <c r="C32" s="2">
        <v>1248.33</v>
      </c>
      <c r="D32" s="2">
        <v>733.4</v>
      </c>
      <c r="E32" s="2">
        <v>514.93</v>
      </c>
      <c r="F32" s="4"/>
      <c r="G32" s="2">
        <f t="shared" si="12"/>
        <v>-29.6500000000001</v>
      </c>
      <c r="H32" s="2">
        <f t="shared" si="13"/>
        <v>0.701000000000001</v>
      </c>
      <c r="I32" s="2">
        <f t="shared" si="14"/>
        <v>35.05</v>
      </c>
      <c r="J32" s="2">
        <f t="shared" si="15"/>
        <v>5.39999999999993</v>
      </c>
      <c r="K32" s="2"/>
    </row>
    <row r="33" s="1" customFormat="1" spans="1:11">
      <c r="A33" s="3">
        <v>43465.1666666667</v>
      </c>
      <c r="B33" s="2">
        <v>15.369</v>
      </c>
      <c r="C33" s="2">
        <v>1277.98</v>
      </c>
      <c r="D33" s="2">
        <v>768.45</v>
      </c>
      <c r="E33" s="2">
        <v>509.53</v>
      </c>
      <c r="F33" s="2" t="s">
        <v>10</v>
      </c>
      <c r="G33" s="2"/>
      <c r="H33" s="2"/>
      <c r="I33" s="2"/>
      <c r="J33" s="2"/>
      <c r="K33" s="2"/>
    </row>
    <row r="34" s="1" customFormat="1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="1" customFormat="1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="1" customFormat="1" spans="1:11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/>
      <c r="G36" s="2" t="s">
        <v>5</v>
      </c>
      <c r="H36" s="2"/>
      <c r="I36" s="2" t="s">
        <v>6</v>
      </c>
      <c r="J36" s="2" t="s">
        <v>7</v>
      </c>
      <c r="K36" s="2" t="s">
        <v>8</v>
      </c>
    </row>
    <row r="37" s="1" customFormat="1" spans="1:11">
      <c r="A37" s="3">
        <v>43453.0416666667</v>
      </c>
      <c r="B37" s="2">
        <v>14.618</v>
      </c>
      <c r="C37" s="2">
        <v>1249.4</v>
      </c>
      <c r="D37" s="2">
        <v>730.9</v>
      </c>
      <c r="E37" s="2">
        <v>518.5</v>
      </c>
      <c r="F37" s="4" t="s">
        <v>9</v>
      </c>
      <c r="G37" s="2">
        <f t="shared" ref="G37:G39" si="16">C37-C$40</f>
        <v>1.3900000000001</v>
      </c>
      <c r="H37" s="2">
        <f t="shared" ref="H37:H39" si="17">B$40-B37</f>
        <v>0.0570000000000004</v>
      </c>
      <c r="I37" s="2">
        <f t="shared" ref="I37:I39" si="18">H37*50</f>
        <v>2.85000000000002</v>
      </c>
      <c r="J37" s="2">
        <f t="shared" ref="J37:J39" si="19">G37+I37</f>
        <v>4.24000000000012</v>
      </c>
      <c r="K37" s="2">
        <f>SUM(J37:J39)</f>
        <v>11.7700000000003</v>
      </c>
    </row>
    <row r="38" s="1" customFormat="1" spans="1:11">
      <c r="A38" s="3">
        <v>43453.0833333333</v>
      </c>
      <c r="B38" s="2">
        <v>14.622</v>
      </c>
      <c r="C38" s="2">
        <v>1249.22</v>
      </c>
      <c r="D38" s="2">
        <v>731.1</v>
      </c>
      <c r="E38" s="2">
        <v>518.12</v>
      </c>
      <c r="F38" s="4"/>
      <c r="G38" s="2">
        <f t="shared" si="16"/>
        <v>1.21000000000004</v>
      </c>
      <c r="H38" s="2">
        <f t="shared" si="17"/>
        <v>0.0530000000000008</v>
      </c>
      <c r="I38" s="2">
        <f t="shared" si="18"/>
        <v>2.65000000000004</v>
      </c>
      <c r="J38" s="2">
        <f t="shared" si="19"/>
        <v>3.86000000000008</v>
      </c>
      <c r="K38" s="2"/>
    </row>
    <row r="39" s="1" customFormat="1" spans="1:11">
      <c r="A39" s="3">
        <v>43453.6666666667</v>
      </c>
      <c r="B39" s="2">
        <v>14.755</v>
      </c>
      <c r="C39" s="2">
        <v>1255.68</v>
      </c>
      <c r="D39" s="2">
        <v>737.75</v>
      </c>
      <c r="E39" s="2">
        <v>517.93</v>
      </c>
      <c r="F39" s="4"/>
      <c r="G39" s="2">
        <f t="shared" si="16"/>
        <v>7.67000000000007</v>
      </c>
      <c r="H39" s="2">
        <f t="shared" si="17"/>
        <v>-0.0800000000000001</v>
      </c>
      <c r="I39" s="2">
        <f t="shared" si="18"/>
        <v>-4</v>
      </c>
      <c r="J39" s="2">
        <f t="shared" si="19"/>
        <v>3.67000000000007</v>
      </c>
      <c r="K39" s="2"/>
    </row>
    <row r="40" s="1" customFormat="1" spans="1:11">
      <c r="A40" s="3">
        <v>43453.4583333333</v>
      </c>
      <c r="B40" s="2">
        <v>14.675</v>
      </c>
      <c r="C40" s="2">
        <v>1248.01</v>
      </c>
      <c r="D40" s="2">
        <v>733.75</v>
      </c>
      <c r="E40" s="2">
        <v>514.26</v>
      </c>
      <c r="F40" s="2" t="s">
        <v>10</v>
      </c>
      <c r="G40" s="2"/>
      <c r="H40" s="2"/>
      <c r="I40" s="2"/>
      <c r="J40" s="2"/>
      <c r="K40" s="2"/>
    </row>
    <row r="41" s="1" customFormat="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="1" customFormat="1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="1" customFormat="1" spans="1:11">
      <c r="A43" s="2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/>
      <c r="G43" s="2" t="s">
        <v>5</v>
      </c>
      <c r="H43" s="2"/>
      <c r="I43" s="2" t="s">
        <v>6</v>
      </c>
      <c r="J43" s="2" t="s">
        <v>7</v>
      </c>
      <c r="K43" s="2" t="s">
        <v>8</v>
      </c>
    </row>
    <row r="44" s="1" customFormat="1" spans="1:11">
      <c r="A44" s="3">
        <v>43454.2083333333</v>
      </c>
      <c r="B44" s="2">
        <v>14.543</v>
      </c>
      <c r="C44" s="2">
        <v>1244.5</v>
      </c>
      <c r="D44" s="2">
        <v>727.15</v>
      </c>
      <c r="E44" s="2">
        <v>517.35</v>
      </c>
      <c r="F44" s="4" t="s">
        <v>9</v>
      </c>
      <c r="G44" s="2">
        <f t="shared" ref="G44:G48" si="20">C44-C$49</f>
        <v>-30.49</v>
      </c>
      <c r="H44" s="2">
        <f t="shared" ref="H44:H48" si="21">B$49-B44</f>
        <v>0.674000000000001</v>
      </c>
      <c r="I44" s="2">
        <f t="shared" ref="I44:I48" si="22">H44*50</f>
        <v>33.7000000000001</v>
      </c>
      <c r="J44" s="2">
        <f t="shared" ref="J44:J48" si="23">I44+G44</f>
        <v>3.21000000000005</v>
      </c>
      <c r="K44" s="2">
        <f>SUM(J44:J48)</f>
        <v>18.1700000000001</v>
      </c>
    </row>
    <row r="45" s="1" customFormat="1" spans="1:11">
      <c r="A45" s="3">
        <v>43454.25</v>
      </c>
      <c r="B45" s="2">
        <v>14.554</v>
      </c>
      <c r="C45" s="2">
        <v>1245.15</v>
      </c>
      <c r="D45" s="2">
        <v>727.7</v>
      </c>
      <c r="E45" s="2">
        <v>517.45</v>
      </c>
      <c r="F45" s="4"/>
      <c r="G45" s="2">
        <f t="shared" si="20"/>
        <v>-29.8399999999999</v>
      </c>
      <c r="H45" s="2">
        <f t="shared" si="21"/>
        <v>0.663</v>
      </c>
      <c r="I45" s="2">
        <f t="shared" si="22"/>
        <v>33.15</v>
      </c>
      <c r="J45" s="2">
        <f t="shared" si="23"/>
        <v>3.31000000000009</v>
      </c>
      <c r="K45" s="2"/>
    </row>
    <row r="46" s="1" customFormat="1" spans="1:11">
      <c r="A46" s="3">
        <v>43454.3333333333</v>
      </c>
      <c r="B46" s="2">
        <v>14.587</v>
      </c>
      <c r="C46" s="2">
        <v>1246.79</v>
      </c>
      <c r="D46" s="2">
        <v>729.35</v>
      </c>
      <c r="E46" s="2">
        <v>517.439999999999</v>
      </c>
      <c r="F46" s="4"/>
      <c r="G46" s="2">
        <f t="shared" si="20"/>
        <v>-28.2</v>
      </c>
      <c r="H46" s="2">
        <f t="shared" si="21"/>
        <v>0.630000000000001</v>
      </c>
      <c r="I46" s="2">
        <f t="shared" si="22"/>
        <v>31.5</v>
      </c>
      <c r="J46" s="2">
        <f t="shared" si="23"/>
        <v>3.29999999999999</v>
      </c>
      <c r="K46" s="2"/>
    </row>
    <row r="47" s="1" customFormat="1" spans="1:11">
      <c r="A47" s="3">
        <v>43454.375</v>
      </c>
      <c r="B47" s="2">
        <v>14.605</v>
      </c>
      <c r="C47" s="2">
        <v>1248.48</v>
      </c>
      <c r="D47" s="2">
        <v>730.25</v>
      </c>
      <c r="E47" s="2">
        <v>518.23</v>
      </c>
      <c r="F47" s="4"/>
      <c r="G47" s="2">
        <f t="shared" si="20"/>
        <v>-26.51</v>
      </c>
      <c r="H47" s="2">
        <f t="shared" si="21"/>
        <v>0.612</v>
      </c>
      <c r="I47" s="2">
        <f t="shared" si="22"/>
        <v>30.6</v>
      </c>
      <c r="J47" s="2">
        <f t="shared" si="23"/>
        <v>4.09000000000001</v>
      </c>
      <c r="K47" s="2"/>
    </row>
    <row r="48" s="1" customFormat="1" spans="1:11">
      <c r="A48" s="3">
        <v>43454.4166666667</v>
      </c>
      <c r="B48" s="2">
        <v>14.619</v>
      </c>
      <c r="C48" s="2">
        <v>1249.35</v>
      </c>
      <c r="D48" s="2">
        <v>730.95</v>
      </c>
      <c r="E48" s="2">
        <v>518.399999999999</v>
      </c>
      <c r="F48" s="4"/>
      <c r="G48" s="2">
        <f t="shared" si="20"/>
        <v>-25.6400000000001</v>
      </c>
      <c r="H48" s="2">
        <f t="shared" si="21"/>
        <v>0.598000000000001</v>
      </c>
      <c r="I48" s="2">
        <f t="shared" si="22"/>
        <v>29.9</v>
      </c>
      <c r="J48" s="2">
        <f t="shared" si="23"/>
        <v>4.25999999999994</v>
      </c>
      <c r="K48" s="2"/>
    </row>
    <row r="49" s="1" customFormat="1" spans="1:11">
      <c r="A49" s="3">
        <v>43461.9166666667</v>
      </c>
      <c r="B49" s="2">
        <v>15.217</v>
      </c>
      <c r="C49" s="2">
        <v>1274.99</v>
      </c>
      <c r="D49" s="2">
        <v>760.85</v>
      </c>
      <c r="E49" s="2">
        <v>514.14</v>
      </c>
      <c r="F49" s="2" t="s">
        <v>10</v>
      </c>
      <c r="G49" s="2"/>
      <c r="H49" s="2"/>
      <c r="I49" s="2"/>
      <c r="J49" s="2"/>
      <c r="K49" s="2"/>
    </row>
    <row r="50" s="1" customFormat="1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="1" customFormat="1" spans="1:11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/>
      <c r="G51" s="2" t="s">
        <v>5</v>
      </c>
      <c r="H51" s="2"/>
      <c r="I51" s="2" t="s">
        <v>6</v>
      </c>
      <c r="J51" s="2" t="s">
        <v>7</v>
      </c>
      <c r="K51" s="2" t="s">
        <v>8</v>
      </c>
    </row>
    <row r="52" s="1" customFormat="1" spans="1:11">
      <c r="A52" s="3">
        <v>43455.0416666667</v>
      </c>
      <c r="B52" s="2">
        <v>14.763</v>
      </c>
      <c r="C52" s="2">
        <v>1261.89</v>
      </c>
      <c r="D52" s="2">
        <v>738.15</v>
      </c>
      <c r="E52" s="2">
        <v>523.74</v>
      </c>
      <c r="F52" s="4" t="s">
        <v>9</v>
      </c>
      <c r="G52" s="2">
        <f t="shared" ref="G52:G56" si="24">C52-C$57</f>
        <v>-14.1299999999999</v>
      </c>
      <c r="H52" s="2">
        <f t="shared" ref="H52:H56" si="25">B$57-B52</f>
        <v>0.356</v>
      </c>
      <c r="I52" s="2">
        <f t="shared" ref="I52:I56" si="26">H52*50</f>
        <v>17.8</v>
      </c>
      <c r="J52" s="2">
        <f t="shared" ref="J52:J56" si="27">I52+G52</f>
        <v>3.67000000000011</v>
      </c>
      <c r="K52" s="2">
        <f>SUM(J52:J56)</f>
        <v>21.0900000000001</v>
      </c>
    </row>
    <row r="53" s="1" customFormat="1" spans="1:11">
      <c r="A53" s="3">
        <v>43455.0833333333</v>
      </c>
      <c r="B53" s="2">
        <v>14.757</v>
      </c>
      <c r="C53" s="2">
        <v>1261.56</v>
      </c>
      <c r="D53" s="2">
        <v>737.85</v>
      </c>
      <c r="E53" s="2">
        <v>523.709999999999</v>
      </c>
      <c r="F53" s="4"/>
      <c r="G53" s="2">
        <f t="shared" si="24"/>
        <v>-14.46</v>
      </c>
      <c r="H53" s="2">
        <f t="shared" si="25"/>
        <v>0.362</v>
      </c>
      <c r="I53" s="2">
        <f t="shared" si="26"/>
        <v>18.1</v>
      </c>
      <c r="J53" s="2">
        <f t="shared" si="27"/>
        <v>3.63999999999997</v>
      </c>
      <c r="K53" s="2"/>
    </row>
    <row r="54" s="1" customFormat="1" spans="1:11">
      <c r="A54" s="3">
        <v>43455.125</v>
      </c>
      <c r="B54" s="2">
        <v>14.747</v>
      </c>
      <c r="C54" s="2">
        <v>1261.05</v>
      </c>
      <c r="D54" s="2">
        <v>737.35</v>
      </c>
      <c r="E54" s="2">
        <v>523.699999999999</v>
      </c>
      <c r="F54" s="4"/>
      <c r="G54" s="2">
        <f t="shared" si="24"/>
        <v>-14.97</v>
      </c>
      <c r="H54" s="2">
        <f t="shared" si="25"/>
        <v>0.372</v>
      </c>
      <c r="I54" s="2">
        <f t="shared" si="26"/>
        <v>18.6</v>
      </c>
      <c r="J54" s="2">
        <f t="shared" si="27"/>
        <v>3.62999999999997</v>
      </c>
      <c r="K54" s="2"/>
    </row>
    <row r="55" s="1" customFormat="1" spans="1:11">
      <c r="A55" s="3">
        <v>43455.375</v>
      </c>
      <c r="B55" s="2">
        <v>14.745</v>
      </c>
      <c r="C55" s="2">
        <v>1261.37</v>
      </c>
      <c r="D55" s="2">
        <v>737.25</v>
      </c>
      <c r="E55" s="2">
        <v>524.119999999999</v>
      </c>
      <c r="F55" s="4"/>
      <c r="G55" s="2">
        <f t="shared" si="24"/>
        <v>-14.6500000000001</v>
      </c>
      <c r="H55" s="2">
        <f t="shared" si="25"/>
        <v>0.374000000000001</v>
      </c>
      <c r="I55" s="2">
        <f t="shared" si="26"/>
        <v>18.7</v>
      </c>
      <c r="J55" s="2">
        <f t="shared" si="27"/>
        <v>4.04999999999994</v>
      </c>
      <c r="K55" s="2"/>
    </row>
    <row r="56" s="1" customFormat="1" spans="1:11">
      <c r="A56" s="3">
        <v>43455.4166666667</v>
      </c>
      <c r="B56" s="2">
        <v>14.66</v>
      </c>
      <c r="C56" s="2">
        <v>1259.17</v>
      </c>
      <c r="D56" s="2">
        <v>733</v>
      </c>
      <c r="E56" s="2">
        <v>526.17</v>
      </c>
      <c r="F56" s="4"/>
      <c r="G56" s="2">
        <f t="shared" si="24"/>
        <v>-16.8499999999999</v>
      </c>
      <c r="H56" s="2">
        <f t="shared" si="25"/>
        <v>0.459</v>
      </c>
      <c r="I56" s="2">
        <f t="shared" si="26"/>
        <v>22.95</v>
      </c>
      <c r="J56" s="2">
        <f t="shared" si="27"/>
        <v>6.10000000000007</v>
      </c>
      <c r="K56" s="2"/>
    </row>
    <row r="57" s="1" customFormat="1" spans="1:11">
      <c r="A57" s="3">
        <v>43460.75</v>
      </c>
      <c r="B57" s="2">
        <v>15.119</v>
      </c>
      <c r="C57" s="2">
        <v>1276.02</v>
      </c>
      <c r="D57" s="2">
        <v>755.95</v>
      </c>
      <c r="E57" s="2">
        <v>520.069999999999</v>
      </c>
      <c r="F57" s="2" t="s">
        <v>10</v>
      </c>
      <c r="G57" s="2"/>
      <c r="H57" s="2"/>
      <c r="I57" s="2"/>
      <c r="J57" s="2"/>
      <c r="K57" s="2"/>
    </row>
    <row r="58" s="1" customFormat="1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="1" customFormat="1" spans="1:11">
      <c r="A59" s="2" t="s">
        <v>0</v>
      </c>
      <c r="B59" s="2" t="s">
        <v>1</v>
      </c>
      <c r="C59" s="2" t="s">
        <v>2</v>
      </c>
      <c r="D59" s="2" t="s">
        <v>3</v>
      </c>
      <c r="E59" s="2" t="s">
        <v>4</v>
      </c>
      <c r="F59" s="2"/>
      <c r="G59" s="2" t="s">
        <v>5</v>
      </c>
      <c r="H59" s="2"/>
      <c r="I59" s="2" t="s">
        <v>6</v>
      </c>
      <c r="J59" s="2" t="s">
        <v>7</v>
      </c>
      <c r="K59" s="2" t="s">
        <v>8</v>
      </c>
    </row>
    <row r="60" s="1" customFormat="1" spans="1:11">
      <c r="A60" s="3">
        <v>43460.3333333333</v>
      </c>
      <c r="B60" s="2">
        <v>14.829</v>
      </c>
      <c r="C60" s="2">
        <v>1273.79</v>
      </c>
      <c r="D60" s="2">
        <v>741.45</v>
      </c>
      <c r="E60" s="2">
        <v>532.339999999999</v>
      </c>
      <c r="F60" s="4" t="s">
        <v>9</v>
      </c>
      <c r="G60" s="2">
        <f t="shared" ref="G60:G64" si="28">C60-C$65</f>
        <v>-0.519999999999982</v>
      </c>
      <c r="H60" s="2">
        <f t="shared" ref="H60:H64" si="29">B$65-B60</f>
        <v>0.148999999999999</v>
      </c>
      <c r="I60" s="2">
        <f t="shared" ref="I60:I64" si="30">H60*50</f>
        <v>7.44999999999996</v>
      </c>
      <c r="J60" s="2">
        <f t="shared" ref="J60:J64" si="31">I60+G60</f>
        <v>6.92999999999997</v>
      </c>
      <c r="K60" s="2">
        <f>SUM(J60:J64)</f>
        <v>29.96</v>
      </c>
    </row>
    <row r="61" s="1" customFormat="1" spans="1:11">
      <c r="A61" s="3">
        <v>43460.375</v>
      </c>
      <c r="B61" s="2">
        <v>14.835</v>
      </c>
      <c r="C61" s="2">
        <v>1272.83</v>
      </c>
      <c r="D61" s="2">
        <v>741.75</v>
      </c>
      <c r="E61" s="2">
        <v>531.079999999999</v>
      </c>
      <c r="F61" s="4"/>
      <c r="G61" s="2">
        <f t="shared" si="28"/>
        <v>-1.48000000000002</v>
      </c>
      <c r="H61" s="2">
        <f t="shared" si="29"/>
        <v>0.142999999999999</v>
      </c>
      <c r="I61" s="2">
        <f t="shared" si="30"/>
        <v>7.14999999999995</v>
      </c>
      <c r="J61" s="2">
        <f t="shared" si="31"/>
        <v>5.66999999999993</v>
      </c>
      <c r="K61" s="2"/>
    </row>
    <row r="62" s="1" customFormat="1" spans="1:11">
      <c r="A62" s="3">
        <v>43460.4166666667</v>
      </c>
      <c r="B62" s="2">
        <v>14.823</v>
      </c>
      <c r="C62" s="2">
        <v>1272.39</v>
      </c>
      <c r="D62" s="2">
        <v>741.15</v>
      </c>
      <c r="E62" s="2">
        <v>531.24</v>
      </c>
      <c r="F62" s="4"/>
      <c r="G62" s="2">
        <f t="shared" si="28"/>
        <v>-1.91999999999985</v>
      </c>
      <c r="H62" s="2">
        <f t="shared" si="29"/>
        <v>0.154999999999999</v>
      </c>
      <c r="I62" s="2">
        <f t="shared" si="30"/>
        <v>7.74999999999997</v>
      </c>
      <c r="J62" s="2">
        <f t="shared" si="31"/>
        <v>5.83000000000012</v>
      </c>
      <c r="K62" s="2"/>
    </row>
    <row r="63" s="1" customFormat="1" spans="1:11">
      <c r="A63" s="3">
        <v>43460.4583333333</v>
      </c>
      <c r="B63" s="2">
        <v>14.827</v>
      </c>
      <c r="C63" s="2">
        <v>1272.62</v>
      </c>
      <c r="D63" s="2">
        <v>741.35</v>
      </c>
      <c r="E63" s="2">
        <v>531.269999999999</v>
      </c>
      <c r="F63" s="4"/>
      <c r="G63" s="2">
        <f t="shared" si="28"/>
        <v>-1.69000000000005</v>
      </c>
      <c r="H63" s="2">
        <f t="shared" si="29"/>
        <v>0.151</v>
      </c>
      <c r="I63" s="2">
        <f t="shared" si="30"/>
        <v>7.54999999999999</v>
      </c>
      <c r="J63" s="2">
        <f t="shared" si="31"/>
        <v>5.85999999999994</v>
      </c>
      <c r="K63" s="2"/>
    </row>
    <row r="64" s="1" customFormat="1" spans="1:11">
      <c r="A64" s="3">
        <v>43460.5</v>
      </c>
      <c r="B64" s="2">
        <v>14.842</v>
      </c>
      <c r="C64" s="2">
        <v>1273.18</v>
      </c>
      <c r="D64" s="2">
        <v>742.1</v>
      </c>
      <c r="E64" s="2">
        <v>531.08</v>
      </c>
      <c r="F64" s="4"/>
      <c r="G64" s="2">
        <f t="shared" si="28"/>
        <v>-1.12999999999988</v>
      </c>
      <c r="H64" s="2">
        <f t="shared" si="29"/>
        <v>0.135999999999999</v>
      </c>
      <c r="I64" s="2">
        <f t="shared" si="30"/>
        <v>6.79999999999996</v>
      </c>
      <c r="J64" s="2">
        <f t="shared" si="31"/>
        <v>5.67000000000008</v>
      </c>
      <c r="K64" s="2"/>
    </row>
    <row r="65" s="1" customFormat="1" spans="1:11">
      <c r="A65" s="3">
        <v>43460.6666666667</v>
      </c>
      <c r="B65" s="2">
        <v>14.978</v>
      </c>
      <c r="C65" s="2">
        <v>1274.31</v>
      </c>
      <c r="D65" s="2">
        <v>748.9</v>
      </c>
      <c r="E65" s="2">
        <v>525.41</v>
      </c>
      <c r="F65" s="2" t="s">
        <v>10</v>
      </c>
      <c r="G65" s="2"/>
      <c r="H65" s="2"/>
      <c r="I65" s="2"/>
      <c r="J65" s="2"/>
      <c r="K65" s="2"/>
    </row>
  </sheetData>
  <mergeCells count="16">
    <mergeCell ref="F2:F6"/>
    <mergeCell ref="F10:F14"/>
    <mergeCell ref="F20:F24"/>
    <mergeCell ref="F28:F32"/>
    <mergeCell ref="F37:F39"/>
    <mergeCell ref="F44:F48"/>
    <mergeCell ref="F52:F56"/>
    <mergeCell ref="F60:F64"/>
    <mergeCell ref="K2:K7"/>
    <mergeCell ref="K10:K14"/>
    <mergeCell ref="K20:K24"/>
    <mergeCell ref="K28:K32"/>
    <mergeCell ref="K37:K39"/>
    <mergeCell ref="K44:K48"/>
    <mergeCell ref="K52:K56"/>
    <mergeCell ref="K60:K64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workbookViewId="0">
      <selection activeCell="O35" sqref="O35"/>
    </sheetView>
  </sheetViews>
  <sheetFormatPr defaultColWidth="9" defaultRowHeight="13.5"/>
  <cols>
    <col min="1" max="16384" width="9" style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/>
      <c r="I1" s="2" t="s">
        <v>6</v>
      </c>
      <c r="J1" s="2" t="s">
        <v>7</v>
      </c>
      <c r="K1" s="2" t="s">
        <v>8</v>
      </c>
    </row>
    <row r="2" s="1" customFormat="1" spans="1:11">
      <c r="A2" s="3">
        <v>43438.6666666667</v>
      </c>
      <c r="B2" s="2">
        <v>14.614</v>
      </c>
      <c r="C2" s="2">
        <v>1240.67</v>
      </c>
      <c r="D2" s="2">
        <v>730.7</v>
      </c>
      <c r="E2" s="2">
        <v>509.97</v>
      </c>
      <c r="F2" s="4" t="s">
        <v>9</v>
      </c>
      <c r="G2" s="2">
        <f>C$4-C2</f>
        <v>-2.05000000000018</v>
      </c>
      <c r="H2" s="2">
        <f>B2-B$4</f>
        <v>0.101000000000001</v>
      </c>
      <c r="I2" s="2">
        <f>H2*50</f>
        <v>5.05000000000004</v>
      </c>
      <c r="J2" s="2">
        <f>I2+G2</f>
        <v>2.99999999999986</v>
      </c>
      <c r="K2" s="2">
        <f>SUM(J2:J3)</f>
        <v>6.17999999999968</v>
      </c>
    </row>
    <row r="3" s="1" customFormat="1" spans="1:11">
      <c r="A3" s="3">
        <v>43438.7083333333</v>
      </c>
      <c r="B3" s="2">
        <v>14.568</v>
      </c>
      <c r="C3" s="2">
        <v>1238.19</v>
      </c>
      <c r="D3" s="2">
        <v>728.4</v>
      </c>
      <c r="E3" s="2">
        <v>509.79</v>
      </c>
      <c r="F3" s="4"/>
      <c r="G3" s="2">
        <f>C$4-C3</f>
        <v>0.429999999999836</v>
      </c>
      <c r="H3" s="2">
        <f>B3-B$4</f>
        <v>0.0549999999999997</v>
      </c>
      <c r="I3" s="2">
        <f>H3*50</f>
        <v>2.74999999999999</v>
      </c>
      <c r="J3" s="2">
        <f>I3+G3</f>
        <v>3.17999999999982</v>
      </c>
      <c r="K3" s="2"/>
    </row>
    <row r="4" s="1" customFormat="1" spans="1:11">
      <c r="A4" s="3">
        <v>43439.0416666667</v>
      </c>
      <c r="B4" s="2">
        <v>14.513</v>
      </c>
      <c r="C4" s="2">
        <v>1238.62</v>
      </c>
      <c r="D4" s="2">
        <v>725.65</v>
      </c>
      <c r="E4" s="2">
        <v>512.969999999999</v>
      </c>
      <c r="F4" s="2" t="s">
        <v>10</v>
      </c>
      <c r="G4" s="2"/>
      <c r="H4" s="2"/>
      <c r="I4" s="2"/>
      <c r="J4" s="2"/>
      <c r="K4" s="2"/>
    </row>
    <row r="5" s="1" customFormat="1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="1" customFormat="1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="1" customFormat="1" spans="1:11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/>
      <c r="G7" s="2"/>
      <c r="H7" s="2"/>
      <c r="I7" s="2"/>
      <c r="J7" s="2"/>
      <c r="K7" s="2"/>
    </row>
    <row r="8" s="1" customFormat="1" spans="1:11">
      <c r="A8" s="3">
        <v>43444.75</v>
      </c>
      <c r="B8" s="2">
        <v>14.557</v>
      </c>
      <c r="C8" s="2">
        <v>1245.93</v>
      </c>
      <c r="D8" s="2">
        <v>727.85</v>
      </c>
      <c r="E8" s="2">
        <v>518.08</v>
      </c>
      <c r="F8" s="4" t="s">
        <v>9</v>
      </c>
      <c r="G8" s="2">
        <f t="shared" ref="G8:G10" si="0">C$11-C8</f>
        <v>14.01</v>
      </c>
      <c r="H8" s="2">
        <f t="shared" ref="H8:H10" si="1">B8-B$11</f>
        <v>-0.143999999999899</v>
      </c>
      <c r="I8" s="2">
        <f t="shared" ref="I8:I10" si="2">H8*50</f>
        <v>-7.19999999999494</v>
      </c>
      <c r="J8" s="2">
        <f t="shared" ref="J8:J10" si="3">I8+G8</f>
        <v>6.81000000000505</v>
      </c>
      <c r="K8" s="2">
        <f>SUM(J8:J10)</f>
        <v>20.5800000000103</v>
      </c>
    </row>
    <row r="9" s="1" customFormat="1" spans="1:11">
      <c r="A9" s="3">
        <v>43444.7916666667</v>
      </c>
      <c r="B9" s="2">
        <v>14.515</v>
      </c>
      <c r="C9" s="2">
        <v>1243.28</v>
      </c>
      <c r="D9" s="2">
        <v>725.75</v>
      </c>
      <c r="E9" s="2">
        <v>517.53</v>
      </c>
      <c r="F9" s="4"/>
      <c r="G9" s="2">
        <f t="shared" si="0"/>
        <v>16.6600000000001</v>
      </c>
      <c r="H9" s="2">
        <f t="shared" si="1"/>
        <v>-0.185999999999899</v>
      </c>
      <c r="I9" s="2">
        <f t="shared" si="2"/>
        <v>-9.29999999999493</v>
      </c>
      <c r="J9" s="2">
        <f t="shared" si="3"/>
        <v>7.36000000000515</v>
      </c>
      <c r="K9" s="2"/>
    </row>
    <row r="10" s="1" customFormat="1" spans="1:11">
      <c r="A10" s="3">
        <v>43444.8333333333</v>
      </c>
      <c r="B10" s="2">
        <v>14.4859999999999</v>
      </c>
      <c r="C10" s="2">
        <v>1242.78</v>
      </c>
      <c r="D10" s="2">
        <v>724.3</v>
      </c>
      <c r="E10" s="2">
        <v>518.48</v>
      </c>
      <c r="F10" s="4"/>
      <c r="G10" s="2">
        <f t="shared" si="0"/>
        <v>17.1600000000001</v>
      </c>
      <c r="H10" s="2">
        <f t="shared" si="1"/>
        <v>-0.215</v>
      </c>
      <c r="I10" s="2">
        <f t="shared" si="2"/>
        <v>-10.75</v>
      </c>
      <c r="J10" s="2">
        <f t="shared" si="3"/>
        <v>6.41000000000009</v>
      </c>
      <c r="K10" s="2"/>
    </row>
    <row r="11" s="1" customFormat="1" spans="1:11">
      <c r="A11" s="3">
        <v>43454.75</v>
      </c>
      <c r="B11" s="2">
        <v>14.7009999999999</v>
      </c>
      <c r="C11" s="2">
        <v>1259.94</v>
      </c>
      <c r="D11" s="2">
        <v>735.05</v>
      </c>
      <c r="E11" s="2">
        <v>524.89</v>
      </c>
      <c r="F11" s="2" t="s">
        <v>10</v>
      </c>
      <c r="G11" s="2"/>
      <c r="H11" s="2"/>
      <c r="I11" s="2"/>
      <c r="J11" s="2"/>
      <c r="K11" s="2"/>
    </row>
    <row r="12" s="1" customFormat="1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="1" customFormat="1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="1" customFormat="1" spans="1:11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/>
      <c r="G14" s="2"/>
      <c r="H14" s="2"/>
      <c r="I14" s="2"/>
      <c r="J14" s="2"/>
      <c r="K14" s="2"/>
    </row>
    <row r="15" s="1" customFormat="1" spans="1:11">
      <c r="A15" s="3">
        <v>43446.2083333333</v>
      </c>
      <c r="B15" s="2">
        <v>14.602</v>
      </c>
      <c r="C15" s="2">
        <v>1244.72</v>
      </c>
      <c r="D15" s="2">
        <v>730.1</v>
      </c>
      <c r="E15" s="2">
        <v>514.62</v>
      </c>
      <c r="F15" s="4" t="s">
        <v>9</v>
      </c>
      <c r="G15" s="2">
        <f t="shared" ref="G15:G19" si="4">C$20-C15</f>
        <v>4.56999999999994</v>
      </c>
      <c r="H15" s="2">
        <f t="shared" ref="H15:H19" si="5">B15-B$20</f>
        <v>-0.00199999999999889</v>
      </c>
      <c r="I15" s="2">
        <f t="shared" ref="I15:I19" si="6">H15*50</f>
        <v>-0.0999999999999446</v>
      </c>
      <c r="J15" s="2">
        <f t="shared" ref="J15:J19" si="7">G15+H15</f>
        <v>4.56799999999994</v>
      </c>
      <c r="K15" s="2">
        <f>SUM(J15:J19)</f>
        <v>26.6559999999997</v>
      </c>
    </row>
    <row r="16" s="1" customFormat="1" spans="1:11">
      <c r="A16" s="3">
        <v>43446.25</v>
      </c>
      <c r="B16" s="2">
        <v>14.5959999999999</v>
      </c>
      <c r="C16" s="2">
        <v>1244.2</v>
      </c>
      <c r="D16" s="2">
        <v>729.8</v>
      </c>
      <c r="E16" s="2">
        <v>514.4</v>
      </c>
      <c r="F16" s="4"/>
      <c r="G16" s="2">
        <f t="shared" si="4"/>
        <v>5.08999999999992</v>
      </c>
      <c r="H16" s="2">
        <f t="shared" si="5"/>
        <v>-0.00800000000009859</v>
      </c>
      <c r="I16" s="2">
        <f t="shared" si="6"/>
        <v>-0.40000000000493</v>
      </c>
      <c r="J16" s="2">
        <f t="shared" si="7"/>
        <v>5.08199999999982</v>
      </c>
      <c r="K16" s="2"/>
    </row>
    <row r="17" s="1" customFormat="1" spans="1:11">
      <c r="A17" s="3">
        <v>43446.2916666667</v>
      </c>
      <c r="B17" s="2">
        <v>14.588</v>
      </c>
      <c r="C17" s="2">
        <v>1243.74</v>
      </c>
      <c r="D17" s="2">
        <v>729.4</v>
      </c>
      <c r="E17" s="2">
        <v>514.34</v>
      </c>
      <c r="F17" s="4"/>
      <c r="G17" s="2">
        <f t="shared" si="4"/>
        <v>5.54999999999995</v>
      </c>
      <c r="H17" s="2">
        <f t="shared" si="5"/>
        <v>-0.016</v>
      </c>
      <c r="I17" s="2">
        <f t="shared" si="6"/>
        <v>-0.800000000000001</v>
      </c>
      <c r="J17" s="2">
        <f t="shared" si="7"/>
        <v>5.53399999999995</v>
      </c>
      <c r="K17" s="2"/>
    </row>
    <row r="18" s="1" customFormat="1" spans="1:11">
      <c r="A18" s="3">
        <v>43446.3333333333</v>
      </c>
      <c r="B18" s="2">
        <v>14.569</v>
      </c>
      <c r="C18" s="2">
        <v>1243.09</v>
      </c>
      <c r="D18" s="2">
        <v>728.45</v>
      </c>
      <c r="E18" s="2">
        <v>514.639999999999</v>
      </c>
      <c r="F18" s="4"/>
      <c r="G18" s="2">
        <f t="shared" si="4"/>
        <v>6.20000000000005</v>
      </c>
      <c r="H18" s="2">
        <f t="shared" si="5"/>
        <v>-0.0349999999999984</v>
      </c>
      <c r="I18" s="2">
        <f t="shared" si="6"/>
        <v>-1.74999999999992</v>
      </c>
      <c r="J18" s="2">
        <f t="shared" si="7"/>
        <v>6.16500000000005</v>
      </c>
      <c r="K18" s="2"/>
    </row>
    <row r="19" s="1" customFormat="1" spans="1:11">
      <c r="A19" s="3">
        <v>43446.4166666667</v>
      </c>
      <c r="B19" s="2">
        <v>14.591</v>
      </c>
      <c r="C19" s="2">
        <v>1243.97</v>
      </c>
      <c r="D19" s="2">
        <v>729.55</v>
      </c>
      <c r="E19" s="2">
        <v>514.42</v>
      </c>
      <c r="F19" s="4"/>
      <c r="G19" s="2">
        <f t="shared" si="4"/>
        <v>5.31999999999994</v>
      </c>
      <c r="H19" s="2">
        <f t="shared" si="5"/>
        <v>-0.0129999999999999</v>
      </c>
      <c r="I19" s="2">
        <f t="shared" si="6"/>
        <v>-0.649999999999995</v>
      </c>
      <c r="J19" s="2">
        <f t="shared" si="7"/>
        <v>5.30699999999994</v>
      </c>
      <c r="K19" s="2"/>
    </row>
    <row r="20" s="1" customFormat="1" spans="1:11">
      <c r="A20" s="3">
        <v>43452.8333333333</v>
      </c>
      <c r="B20" s="2">
        <v>14.604</v>
      </c>
      <c r="C20" s="2">
        <v>1249.29</v>
      </c>
      <c r="D20" s="2">
        <v>730.2</v>
      </c>
      <c r="E20" s="2">
        <v>519.089999999999</v>
      </c>
      <c r="F20" s="2" t="s">
        <v>10</v>
      </c>
      <c r="G20" s="2"/>
      <c r="H20" s="2"/>
      <c r="I20" s="2"/>
      <c r="J20" s="2"/>
      <c r="K20" s="2"/>
    </row>
    <row r="21" s="1" customFormat="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="1" customFormat="1" spans="1:11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/>
      <c r="G22" s="2"/>
      <c r="H22" s="2"/>
      <c r="I22" s="2"/>
      <c r="J22" s="2"/>
      <c r="K22" s="2"/>
    </row>
    <row r="23" s="1" customFormat="1" spans="1:11">
      <c r="A23" s="3">
        <v>43447.0833333333</v>
      </c>
      <c r="B23" s="2">
        <v>14.718</v>
      </c>
      <c r="C23" s="2">
        <v>1245.28</v>
      </c>
      <c r="D23" s="2">
        <v>735.9</v>
      </c>
      <c r="E23" s="2">
        <v>509.38</v>
      </c>
      <c r="F23" s="4" t="s">
        <v>9</v>
      </c>
      <c r="G23" s="2">
        <f t="shared" ref="G23:G27" si="8">C$28-C23</f>
        <v>-3.46000000000004</v>
      </c>
      <c r="H23" s="2">
        <f t="shared" ref="H23:H27" si="9">B23-B$28</f>
        <v>0.122000000000099</v>
      </c>
      <c r="I23" s="2">
        <f t="shared" ref="I23:I27" si="10">H23*50</f>
        <v>6.10000000000497</v>
      </c>
      <c r="J23" s="2">
        <f t="shared" ref="J23:J27" si="11">I23+G23</f>
        <v>2.64000000000493</v>
      </c>
      <c r="K23" s="2">
        <f>SUM(J23:J27)</f>
        <v>18.7700000000196</v>
      </c>
    </row>
    <row r="24" s="1" customFormat="1" spans="1:11">
      <c r="A24" s="3">
        <v>43447.125</v>
      </c>
      <c r="B24" s="2">
        <v>14.738</v>
      </c>
      <c r="C24" s="2">
        <v>1244.96</v>
      </c>
      <c r="D24" s="2">
        <v>736.9</v>
      </c>
      <c r="E24" s="2">
        <v>508.06</v>
      </c>
      <c r="F24" s="4"/>
      <c r="G24" s="2">
        <f t="shared" si="8"/>
        <v>-3.1400000000001</v>
      </c>
      <c r="H24" s="2">
        <f t="shared" si="9"/>
        <v>0.142000000000099</v>
      </c>
      <c r="I24" s="2">
        <f t="shared" si="10"/>
        <v>7.10000000000495</v>
      </c>
      <c r="J24" s="2">
        <f t="shared" si="11"/>
        <v>3.96000000000485</v>
      </c>
      <c r="K24" s="2"/>
    </row>
    <row r="25" s="1" customFormat="1" spans="1:11">
      <c r="A25" s="3">
        <v>43447.1666666667</v>
      </c>
      <c r="B25" s="2">
        <v>14.7259999999999</v>
      </c>
      <c r="C25" s="2">
        <v>1244.36</v>
      </c>
      <c r="D25" s="2">
        <v>736.3</v>
      </c>
      <c r="E25" s="2">
        <v>508.059999999999</v>
      </c>
      <c r="F25" s="4"/>
      <c r="G25" s="2">
        <f t="shared" si="8"/>
        <v>-2.53999999999996</v>
      </c>
      <c r="H25" s="2">
        <f t="shared" si="9"/>
        <v>0.129999999999999</v>
      </c>
      <c r="I25" s="2">
        <f t="shared" si="10"/>
        <v>6.49999999999995</v>
      </c>
      <c r="J25" s="2">
        <f t="shared" si="11"/>
        <v>3.95999999999999</v>
      </c>
      <c r="K25" s="2"/>
    </row>
    <row r="26" s="1" customFormat="1" spans="1:11">
      <c r="A26" s="3">
        <v>43447.2083333333</v>
      </c>
      <c r="B26" s="2">
        <v>14.737</v>
      </c>
      <c r="C26" s="2">
        <v>1244.55</v>
      </c>
      <c r="D26" s="2">
        <v>736.85</v>
      </c>
      <c r="E26" s="2">
        <v>507.699999999999</v>
      </c>
      <c r="F26" s="4"/>
      <c r="G26" s="2">
        <f t="shared" si="8"/>
        <v>-2.73000000000002</v>
      </c>
      <c r="H26" s="2">
        <f t="shared" si="9"/>
        <v>0.141000000000099</v>
      </c>
      <c r="I26" s="2">
        <f t="shared" si="10"/>
        <v>7.05000000000497</v>
      </c>
      <c r="J26" s="2">
        <f t="shared" si="11"/>
        <v>4.32000000000496</v>
      </c>
      <c r="K26" s="2"/>
    </row>
    <row r="27" s="1" customFormat="1" spans="1:11">
      <c r="A27" s="3">
        <v>43447.25</v>
      </c>
      <c r="B27" s="2">
        <v>14.722</v>
      </c>
      <c r="C27" s="2">
        <v>1244.23</v>
      </c>
      <c r="D27" s="2">
        <v>736.1</v>
      </c>
      <c r="E27" s="2">
        <v>508.13</v>
      </c>
      <c r="F27" s="4"/>
      <c r="G27" s="2">
        <f t="shared" si="8"/>
        <v>-2.41000000000008</v>
      </c>
      <c r="H27" s="2">
        <f t="shared" si="9"/>
        <v>0.126000000000099</v>
      </c>
      <c r="I27" s="2">
        <f t="shared" si="10"/>
        <v>6.30000000000495</v>
      </c>
      <c r="J27" s="2">
        <f t="shared" si="11"/>
        <v>3.89000000000486</v>
      </c>
      <c r="K27" s="2"/>
    </row>
    <row r="28" s="1" customFormat="1" spans="1:11">
      <c r="A28" s="3">
        <v>43451.6666666667</v>
      </c>
      <c r="B28" s="2">
        <v>14.5959999999999</v>
      </c>
      <c r="C28" s="2">
        <v>1241.82</v>
      </c>
      <c r="D28" s="2">
        <v>729.8</v>
      </c>
      <c r="E28" s="2">
        <v>512.02</v>
      </c>
      <c r="F28" s="2" t="s">
        <v>10</v>
      </c>
      <c r="G28" s="2"/>
      <c r="H28" s="2"/>
      <c r="I28" s="2"/>
      <c r="J28" s="2"/>
      <c r="K28" s="2"/>
    </row>
    <row r="29" s="1" customFormat="1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="1" customFormat="1" spans="1:11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/>
      <c r="G30" s="2"/>
      <c r="H30" s="2"/>
      <c r="I30" s="2"/>
      <c r="J30" s="2"/>
      <c r="K30" s="2"/>
    </row>
    <row r="31" s="1" customFormat="1" spans="1:11">
      <c r="A31" s="3">
        <v>43454.0416666667</v>
      </c>
      <c r="B31" s="2">
        <v>14.604</v>
      </c>
      <c r="C31" s="2">
        <v>1244.05</v>
      </c>
      <c r="D31" s="2">
        <v>730.2</v>
      </c>
      <c r="E31" s="2">
        <v>513.849999999999</v>
      </c>
      <c r="F31" s="4" t="s">
        <v>9</v>
      </c>
      <c r="G31" s="2">
        <f>C$33-C31</f>
        <v>4.43000000000006</v>
      </c>
      <c r="H31" s="2">
        <f>B31-B$33</f>
        <v>-0.00100000000000122</v>
      </c>
      <c r="I31" s="2">
        <f t="shared" ref="I31:I39" si="12">H31*50</f>
        <v>-0.0500000000000611</v>
      </c>
      <c r="J31" s="2">
        <f t="shared" ref="J31:J39" si="13">G31+I31</f>
        <v>4.38</v>
      </c>
      <c r="K31" s="2">
        <f>SUM(J31:J32)</f>
        <v>8.58</v>
      </c>
    </row>
    <row r="32" s="1" customFormat="1" spans="1:11">
      <c r="A32" s="3">
        <v>43454.0833333333</v>
      </c>
      <c r="B32" s="2">
        <v>14.61</v>
      </c>
      <c r="C32" s="2">
        <v>1244.53</v>
      </c>
      <c r="D32" s="2">
        <v>730.5</v>
      </c>
      <c r="E32" s="2">
        <v>514.03</v>
      </c>
      <c r="F32" s="4"/>
      <c r="G32" s="2">
        <f>C$33-C32</f>
        <v>3.95000000000005</v>
      </c>
      <c r="H32" s="2">
        <f>B32-B$33</f>
        <v>0.00499999999999901</v>
      </c>
      <c r="I32" s="2">
        <f t="shared" si="12"/>
        <v>0.24999999999995</v>
      </c>
      <c r="J32" s="2">
        <f t="shared" si="13"/>
        <v>4.2</v>
      </c>
      <c r="K32" s="2"/>
    </row>
    <row r="33" s="1" customFormat="1" spans="1:11">
      <c r="A33" s="3">
        <v>43454.375</v>
      </c>
      <c r="B33" s="2">
        <v>14.605</v>
      </c>
      <c r="C33" s="2">
        <v>1248.48</v>
      </c>
      <c r="D33" s="2">
        <v>730.25</v>
      </c>
      <c r="E33" s="2">
        <v>518.23</v>
      </c>
      <c r="F33" s="2" t="s">
        <v>10</v>
      </c>
      <c r="G33" s="2"/>
      <c r="H33" s="2"/>
      <c r="I33" s="2"/>
      <c r="J33" s="2"/>
      <c r="K33" s="2"/>
    </row>
    <row r="34" s="1" customFormat="1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="1" customFormat="1" spans="1:11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/>
      <c r="G35" s="2"/>
      <c r="H35" s="2"/>
      <c r="I35" s="2"/>
      <c r="J35" s="2"/>
      <c r="K35" s="2"/>
    </row>
    <row r="36" s="1" customFormat="1" spans="1:11">
      <c r="A36" s="3">
        <v>43461.0416666667</v>
      </c>
      <c r="B36" s="2">
        <v>15.023</v>
      </c>
      <c r="C36" s="2">
        <v>1269.08</v>
      </c>
      <c r="D36" s="2">
        <v>751.15</v>
      </c>
      <c r="E36" s="2">
        <v>517.93</v>
      </c>
      <c r="F36" s="4" t="s">
        <v>9</v>
      </c>
      <c r="G36" s="2">
        <f t="shared" ref="G36:G39" si="14">C$40-C36</f>
        <v>3.49000000000001</v>
      </c>
      <c r="H36" s="2">
        <f t="shared" ref="H36:H39" si="15">B36-B$40</f>
        <v>0.00500000000010026</v>
      </c>
      <c r="I36" s="2">
        <f t="shared" si="12"/>
        <v>0.250000000005013</v>
      </c>
      <c r="J36" s="2">
        <f t="shared" si="13"/>
        <v>3.74000000000502</v>
      </c>
      <c r="K36" s="2">
        <f>SUM(J36:J39)</f>
        <v>13.790000000015</v>
      </c>
    </row>
    <row r="37" s="1" customFormat="1" spans="1:11">
      <c r="A37" s="3">
        <v>43461.0833333333</v>
      </c>
      <c r="B37" s="2">
        <v>15.0409999999999</v>
      </c>
      <c r="C37" s="2">
        <v>1270.33</v>
      </c>
      <c r="D37" s="2">
        <v>752.05</v>
      </c>
      <c r="E37" s="2">
        <v>518.28</v>
      </c>
      <c r="F37" s="4"/>
      <c r="G37" s="2">
        <f t="shared" si="14"/>
        <v>2.24000000000001</v>
      </c>
      <c r="H37" s="2">
        <f t="shared" si="15"/>
        <v>0.0229999999999997</v>
      </c>
      <c r="I37" s="2">
        <f t="shared" si="12"/>
        <v>1.14999999999998</v>
      </c>
      <c r="J37" s="2">
        <f t="shared" si="13"/>
        <v>3.38999999999999</v>
      </c>
      <c r="K37" s="2"/>
    </row>
    <row r="38" s="1" customFormat="1" spans="1:11">
      <c r="A38" s="3">
        <v>43461.2083333333</v>
      </c>
      <c r="B38" s="2">
        <v>15.019</v>
      </c>
      <c r="C38" s="2">
        <v>1269.26</v>
      </c>
      <c r="D38" s="2">
        <v>750.95</v>
      </c>
      <c r="E38" s="2">
        <v>518.31</v>
      </c>
      <c r="F38" s="4"/>
      <c r="G38" s="2">
        <f t="shared" si="14"/>
        <v>3.30999999999995</v>
      </c>
      <c r="H38" s="2">
        <f t="shared" si="15"/>
        <v>0.0010000000001007</v>
      </c>
      <c r="I38" s="2">
        <f t="shared" si="12"/>
        <v>0.0500000000050349</v>
      </c>
      <c r="J38" s="2">
        <f t="shared" si="13"/>
        <v>3.36000000000498</v>
      </c>
      <c r="K38" s="2"/>
    </row>
    <row r="39" s="1" customFormat="1" spans="1:11">
      <c r="A39" s="3">
        <v>43461.25</v>
      </c>
      <c r="B39" s="2">
        <v>15.023</v>
      </c>
      <c r="C39" s="2">
        <v>1269.52</v>
      </c>
      <c r="D39" s="2">
        <v>751.15</v>
      </c>
      <c r="E39" s="2">
        <v>518.37</v>
      </c>
      <c r="F39" s="4"/>
      <c r="G39" s="2">
        <f t="shared" si="14"/>
        <v>3.04999999999995</v>
      </c>
      <c r="H39" s="2">
        <f t="shared" si="15"/>
        <v>0.00500000000010026</v>
      </c>
      <c r="I39" s="2">
        <f t="shared" si="12"/>
        <v>0.250000000005013</v>
      </c>
      <c r="J39" s="2">
        <f t="shared" si="13"/>
        <v>3.30000000000497</v>
      </c>
      <c r="K39" s="2"/>
    </row>
    <row r="40" s="1" customFormat="1" spans="1:11">
      <c r="A40" s="3">
        <v>43461.4583333333</v>
      </c>
      <c r="B40" s="2">
        <v>15.0179999999999</v>
      </c>
      <c r="C40" s="2">
        <v>1272.57</v>
      </c>
      <c r="D40" s="2">
        <v>750.9</v>
      </c>
      <c r="E40" s="2">
        <v>521.67</v>
      </c>
      <c r="F40" s="2" t="s">
        <v>10</v>
      </c>
      <c r="G40" s="2"/>
      <c r="H40" s="2"/>
      <c r="I40" s="2"/>
      <c r="J40" s="2"/>
      <c r="K40" s="2"/>
    </row>
  </sheetData>
  <mergeCells count="12">
    <mergeCell ref="F2:F3"/>
    <mergeCell ref="F8:F10"/>
    <mergeCell ref="F15:F19"/>
    <mergeCell ref="F23:F27"/>
    <mergeCell ref="F31:F32"/>
    <mergeCell ref="F36:F39"/>
    <mergeCell ref="K2:K3"/>
    <mergeCell ref="K8:K10"/>
    <mergeCell ref="K15:K19"/>
    <mergeCell ref="K23:K27"/>
    <mergeCell ref="K31:K32"/>
    <mergeCell ref="K36:K39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多xag空xau</vt:lpstr>
      <vt:lpstr>多xau空xag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2019-01-25T07:09:27Z</dcterms:created>
  <dcterms:modified xsi:type="dcterms:W3CDTF">2019-01-25T07:10:41Z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